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pc\Desktop\Ronaq\Advanced Excel\"/>
    </mc:Choice>
  </mc:AlternateContent>
  <xr:revisionPtr revIDLastSave="0" documentId="13_ncr:1_{1A595483-FE9B-48C6-9BB6-1E527CCC6604}" xr6:coauthVersionLast="45" xr6:coauthVersionMax="47" xr10:uidLastSave="{00000000-0000-0000-0000-000000000000}"/>
  <bookViews>
    <workbookView xWindow="-108" yWindow="-108" windowWidth="23256" windowHeight="12456" activeTab="3" xr2:uid="{00000000-000D-0000-FFFF-FFFF00000000}"/>
  </bookViews>
  <sheets>
    <sheet name="bike_buyers - raw data" sheetId="1" r:id="rId1"/>
    <sheet name="Working Sheet" sheetId="2" r:id="rId2"/>
    <sheet name="Pivot Table" sheetId="3" r:id="rId3"/>
    <sheet name="Dashboard" sheetId="5" r:id="rId4"/>
  </sheets>
  <definedNames>
    <definedName name="_xlnm._FilterDatabase" localSheetId="0" hidden="1">'bike_buyers - raw data'!$A$1:$M$1001</definedName>
    <definedName name="_xlnm._FilterDatabase" localSheetId="1" hidden="1">'Working Sheet'!$A$1:$N$1001</definedName>
    <definedName name="Slicer_Children">#N/A</definedName>
    <definedName name="Slicer_Education">#N/A</definedName>
    <definedName name="Slicer_Marital_Status">#N/A</definedName>
    <definedName name="Slicer_Region">#N/A</definedName>
  </definedNames>
  <calcPr calcId="191029"/>
  <pivotCaches>
    <pivotCache cacheId="4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<sst xmlns="http://schemas.openxmlformats.org/spreadsheetml/2006/main" count="16267" uniqueCount="51">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</sst>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NumberFormat="1"/>
    <xf numFmtId="0" fontId="0" fillId="0" borderId="0" xfId="0" applyAlignment="1">
      <alignment horizontal="left"/>
    </xf>
    <xf numFmtId="172"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7E09-47A6-A6DD-7332616966CB}"/>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E09-47A6-A6DD-7332616966CB}"/>
            </c:ext>
          </c:extLst>
        </c:ser>
        <c:dLbls>
          <c:dLblPos val="outEnd"/>
          <c:showLegendKey val="0"/>
          <c:showVal val="1"/>
          <c:showCatName val="0"/>
          <c:showSerName val="0"/>
          <c:showPercent val="0"/>
          <c:showBubbleSize val="0"/>
        </c:dLbls>
        <c:gapWidth val="199"/>
        <c:axId val="338298368"/>
        <c:axId val="338304272"/>
      </c:barChart>
      <c:catAx>
        <c:axId val="3382983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38304272"/>
        <c:crosses val="autoZero"/>
        <c:auto val="1"/>
        <c:lblAlgn val="ctr"/>
        <c:lblOffset val="100"/>
        <c:noMultiLvlLbl val="0"/>
      </c:catAx>
      <c:valAx>
        <c:axId val="3383042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9836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B1E-44A5-8694-AD7BFD416B19}"/>
            </c:ext>
          </c:extLst>
        </c:ser>
        <c:ser>
          <c:idx val="1"/>
          <c:order val="1"/>
          <c:tx>
            <c:strRef>
              <c:f>'Pivot Table'!$C$22:$C$23</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B1E-44A5-8694-AD7BFD416B19}"/>
            </c:ext>
          </c:extLst>
        </c:ser>
        <c:dLbls>
          <c:dLblPos val="ctr"/>
          <c:showLegendKey val="0"/>
          <c:showVal val="1"/>
          <c:showCatName val="0"/>
          <c:showSerName val="0"/>
          <c:showPercent val="0"/>
          <c:showBubbleSize val="0"/>
        </c:dLbls>
        <c:marker val="1"/>
        <c:smooth val="0"/>
        <c:axId val="527236664"/>
        <c:axId val="527239616"/>
      </c:lineChart>
      <c:catAx>
        <c:axId val="5272366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527239616"/>
        <c:crosses val="autoZero"/>
        <c:auto val="1"/>
        <c:lblAlgn val="ctr"/>
        <c:lblOffset val="100"/>
        <c:noMultiLvlLbl val="0"/>
      </c:catAx>
      <c:valAx>
        <c:axId val="527239616"/>
        <c:scaling>
          <c:orientation val="minMax"/>
        </c:scaling>
        <c:delete val="1"/>
        <c:axPos val="l"/>
        <c:numFmt formatCode="General" sourceLinked="1"/>
        <c:majorTickMark val="none"/>
        <c:minorTickMark val="none"/>
        <c:tickLblPos val="nextTo"/>
        <c:crossAx val="527236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9DC-410B-89DA-C897BE691C54}"/>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9DC-410B-89DA-C897BE691C54}"/>
            </c:ext>
          </c:extLst>
        </c:ser>
        <c:dLbls>
          <c:showLegendKey val="0"/>
          <c:showVal val="0"/>
          <c:showCatName val="0"/>
          <c:showSerName val="0"/>
          <c:showPercent val="0"/>
          <c:showBubbleSize val="0"/>
        </c:dLbls>
        <c:marker val="1"/>
        <c:smooth val="0"/>
        <c:axId val="520968728"/>
        <c:axId val="520969056"/>
      </c:lineChart>
      <c:catAx>
        <c:axId val="520968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69056"/>
        <c:crosses val="autoZero"/>
        <c:auto val="1"/>
        <c:lblAlgn val="ctr"/>
        <c:lblOffset val="100"/>
        <c:noMultiLvlLbl val="0"/>
      </c:catAx>
      <c:valAx>
        <c:axId val="52096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68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FB06-4E53-889E-18A9439F895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B06-4E53-889E-18A9439F8951}"/>
            </c:ext>
          </c:extLst>
        </c:ser>
        <c:dLbls>
          <c:dLblPos val="outEnd"/>
          <c:showLegendKey val="0"/>
          <c:showVal val="0"/>
          <c:showCatName val="0"/>
          <c:showSerName val="0"/>
          <c:showPercent val="0"/>
          <c:showBubbleSize val="0"/>
        </c:dLbls>
        <c:gapWidth val="199"/>
        <c:axId val="338298368"/>
        <c:axId val="338304272"/>
      </c:barChart>
      <c:catAx>
        <c:axId val="3382983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38304272"/>
        <c:crosses val="autoZero"/>
        <c:auto val="1"/>
        <c:lblAlgn val="ctr"/>
        <c:lblOffset val="100"/>
        <c:noMultiLvlLbl val="0"/>
      </c:catAx>
      <c:valAx>
        <c:axId val="3383042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9836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148-4C80-BE89-848AF020FECE}"/>
            </c:ext>
          </c:extLst>
        </c:ser>
        <c:ser>
          <c:idx val="1"/>
          <c:order val="1"/>
          <c:tx>
            <c:strRef>
              <c:f>'Pivot Table'!$C$22:$C$23</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148-4C80-BE89-848AF020FECE}"/>
            </c:ext>
          </c:extLst>
        </c:ser>
        <c:dLbls>
          <c:dLblPos val="ctr"/>
          <c:showLegendKey val="0"/>
          <c:showVal val="1"/>
          <c:showCatName val="0"/>
          <c:showSerName val="0"/>
          <c:showPercent val="0"/>
          <c:showBubbleSize val="0"/>
        </c:dLbls>
        <c:marker val="1"/>
        <c:smooth val="0"/>
        <c:axId val="527236664"/>
        <c:axId val="527239616"/>
      </c:lineChart>
      <c:catAx>
        <c:axId val="5272366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527239616"/>
        <c:crosses val="autoZero"/>
        <c:auto val="1"/>
        <c:lblAlgn val="ctr"/>
        <c:lblOffset val="100"/>
        <c:noMultiLvlLbl val="0"/>
      </c:catAx>
      <c:valAx>
        <c:axId val="527239616"/>
        <c:scaling>
          <c:orientation val="minMax"/>
        </c:scaling>
        <c:delete val="1"/>
        <c:axPos val="l"/>
        <c:numFmt formatCode="General" sourceLinked="1"/>
        <c:majorTickMark val="none"/>
        <c:minorTickMark val="none"/>
        <c:tickLblPos val="nextTo"/>
        <c:crossAx val="527236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C62-44A5-BE21-410A5183F46D}"/>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C62-44A5-BE21-410A5183F46D}"/>
            </c:ext>
          </c:extLst>
        </c:ser>
        <c:dLbls>
          <c:showLegendKey val="0"/>
          <c:showVal val="0"/>
          <c:showCatName val="0"/>
          <c:showSerName val="0"/>
          <c:showPercent val="0"/>
          <c:showBubbleSize val="0"/>
        </c:dLbls>
        <c:marker val="1"/>
        <c:smooth val="0"/>
        <c:axId val="520968728"/>
        <c:axId val="520969056"/>
      </c:lineChart>
      <c:catAx>
        <c:axId val="520968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69056"/>
        <c:crosses val="autoZero"/>
        <c:auto val="1"/>
        <c:lblAlgn val="ctr"/>
        <c:lblOffset val="100"/>
        <c:noMultiLvlLbl val="0"/>
      </c:catAx>
      <c:valAx>
        <c:axId val="52096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68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45720</xdr:colOff>
      <xdr:row>0</xdr:row>
      <xdr:rowOff>114300</xdr:rowOff>
    </xdr:from>
    <xdr:to>
      <xdr:col>12</xdr:col>
      <xdr:colOff>350520</xdr:colOff>
      <xdr:row>15</xdr:row>
      <xdr:rowOff>114300</xdr:rowOff>
    </xdr:to>
    <xdr:graphicFrame macro="">
      <xdr:nvGraphicFramePr>
        <xdr:cNvPr id="2" name="Chart 1">
          <a:extLst>
            <a:ext uri="{FF2B5EF4-FFF2-40B4-BE49-F238E27FC236}">
              <a16:creationId xmlns:a16="http://schemas.microsoft.com/office/drawing/2014/main" id="{0E90F12A-13E5-4F86-8AE8-D51BE935E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18</xdr:row>
      <xdr:rowOff>133350</xdr:rowOff>
    </xdr:from>
    <xdr:to>
      <xdr:col>12</xdr:col>
      <xdr:colOff>167640</xdr:colOff>
      <xdr:row>33</xdr:row>
      <xdr:rowOff>133350</xdr:rowOff>
    </xdr:to>
    <xdr:graphicFrame macro="">
      <xdr:nvGraphicFramePr>
        <xdr:cNvPr id="3" name="Chart 2">
          <a:extLst>
            <a:ext uri="{FF2B5EF4-FFF2-40B4-BE49-F238E27FC236}">
              <a16:creationId xmlns:a16="http://schemas.microsoft.com/office/drawing/2014/main" id="{C24ABFBA-CB26-48C3-BD63-0817F90AE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60960</xdr:colOff>
      <xdr:row>34</xdr:row>
      <xdr:rowOff>133350</xdr:rowOff>
    </xdr:from>
    <xdr:to>
      <xdr:col>12</xdr:col>
      <xdr:colOff>190500</xdr:colOff>
      <xdr:row>49</xdr:row>
      <xdr:rowOff>133350</xdr:rowOff>
    </xdr:to>
    <xdr:graphicFrame macro="">
      <xdr:nvGraphicFramePr>
        <xdr:cNvPr id="4" name="Chart 3">
          <a:extLst>
            <a:ext uri="{FF2B5EF4-FFF2-40B4-BE49-F238E27FC236}">
              <a16:creationId xmlns:a16="http://schemas.microsoft.com/office/drawing/2014/main" id="{AC11C487-B213-41FF-B54C-D5CF9D7F8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525780</xdr:colOff>
      <xdr:row>6</xdr:row>
      <xdr:rowOff>55757</xdr:rowOff>
    </xdr:from>
    <xdr:to>
      <xdr:col>8</xdr:col>
      <xdr:colOff>576146</xdr:colOff>
      <xdr:row>22</xdr:row>
      <xdr:rowOff>55757</xdr:rowOff>
    </xdr:to>
    <xdr:graphicFrame macro="">
      <xdr:nvGraphicFramePr>
        <xdr:cNvPr id="5" name="Chart 4">
          <a:extLst>
            <a:ext uri="{FF2B5EF4-FFF2-40B4-BE49-F238E27FC236}">
              <a16:creationId xmlns:a16="http://schemas.microsoft.com/office/drawing/2014/main" id="{0FBB7AFC-52CF-43C8-A31F-CF5180DF2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525780</xdr:colOff>
      <xdr:row>22</xdr:row>
      <xdr:rowOff>120805</xdr:rowOff>
    </xdr:from>
    <xdr:to>
      <xdr:col>15</xdr:col>
      <xdr:colOff>0</xdr:colOff>
      <xdr:row>37</xdr:row>
      <xdr:rowOff>120805</xdr:rowOff>
    </xdr:to>
    <xdr:graphicFrame macro="">
      <xdr:nvGraphicFramePr>
        <xdr:cNvPr id="6" name="Chart 5">
          <a:extLst>
            <a:ext uri="{FF2B5EF4-FFF2-40B4-BE49-F238E27FC236}">
              <a16:creationId xmlns:a16="http://schemas.microsoft.com/office/drawing/2014/main" id="{E8DBD98E-2C91-4353-8AD2-F293ADCB2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PrintsWithSheet="0"/>
  </xdr:twoCellAnchor>
  <xdr:twoCellAnchor editAs="oneCell">
    <xdr:from>
      <xdr:col>9</xdr:col>
      <xdr:colOff>46462</xdr:colOff>
      <xdr:row>6</xdr:row>
      <xdr:rowOff>55757</xdr:rowOff>
    </xdr:from>
    <xdr:to>
      <xdr:col>14</xdr:col>
      <xdr:colOff>613316</xdr:colOff>
      <xdr:row>22</xdr:row>
      <xdr:rowOff>55757</xdr:rowOff>
    </xdr:to>
    <xdr:graphicFrame macro="">
      <xdr:nvGraphicFramePr>
        <xdr:cNvPr id="7" name="Chart 6">
          <a:extLst>
            <a:ext uri="{FF2B5EF4-FFF2-40B4-BE49-F238E27FC236}">
              <a16:creationId xmlns:a16="http://schemas.microsoft.com/office/drawing/2014/main" id="{F526D4FC-B8D1-4035-B6F9-798DB7268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11150</xdr:colOff>
      <xdr:row>6</xdr:row>
      <xdr:rowOff>1</xdr:rowOff>
    </xdr:from>
    <xdr:to>
      <xdr:col>2</xdr:col>
      <xdr:colOff>492511</xdr:colOff>
      <xdr:row>11</xdr:row>
      <xdr:rowOff>1</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37AC1168-105F-4A5E-B51C-D231C6FBC23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150" y="1072445"/>
              <a:ext cx="1704324" cy="893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153562</xdr:rowOff>
    </xdr:from>
    <xdr:to>
      <xdr:col>2</xdr:col>
      <xdr:colOff>483220</xdr:colOff>
      <xdr:row>27</xdr:row>
      <xdr:rowOff>18585</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F92D3637-9E9D-43A1-BD30-BFFA2FFFD2E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92155"/>
              <a:ext cx="1706183" cy="1652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11151</xdr:colOff>
      <xdr:row>11</xdr:row>
      <xdr:rowOff>60634</xdr:rowOff>
    </xdr:from>
    <xdr:to>
      <xdr:col>2</xdr:col>
      <xdr:colOff>483220</xdr:colOff>
      <xdr:row>17</xdr:row>
      <xdr:rowOff>120805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C2828498-7585-419C-ABDB-0CBD17B011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51" y="2026782"/>
              <a:ext cx="1695032" cy="1132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65050</xdr:rowOff>
    </xdr:from>
    <xdr:to>
      <xdr:col>2</xdr:col>
      <xdr:colOff>473927</xdr:colOff>
      <xdr:row>37</xdr:row>
      <xdr:rowOff>120806</xdr:rowOff>
    </xdr:to>
    <mc:AlternateContent xmlns:mc="http://schemas.openxmlformats.org/markup-compatibility/2006">
      <mc:Choice xmlns:a14="http://schemas.microsoft.com/office/drawing/2010/main" Requires="a14">
        <xdr:graphicFrame macro="">
          <xdr:nvGraphicFramePr>
            <xdr:cNvPr id="11" name="Children">
              <a:extLst>
                <a:ext uri="{FF2B5EF4-FFF2-40B4-BE49-F238E27FC236}">
                  <a16:creationId xmlns:a16="http://schemas.microsoft.com/office/drawing/2014/main" id="{81FC2072-1A49-4A4D-947B-031E6171B9FD}"/>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0" y="4891050"/>
              <a:ext cx="1696890" cy="1843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35.51420474537" createdVersion="6" refreshedVersion="6" minRefreshableVersion="3" recordCount="1000" xr:uid="{28F295D9-3FEA-4FBB-91BB-EDE786B7E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40113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4D286F-8871-43AF-9254-1DAC311B02F0}" name="PivotTable3"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9:D44" firstHeaderRow="1" firstDataRow="2" firstDataCol="1"/>
  <pivotFields count="14">
    <pivotField showAll="0"/>
    <pivotField showAll="0">
      <items count="3">
        <item x="0"/>
        <item x="1"/>
        <item t="default"/>
      </items>
    </pivotField>
    <pivotField showAll="0"/>
    <pivotField numFmtId="166"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854EA7-9385-400D-B5F9-7FAE0A11426C}" name="PivotTable2"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2:D29" firstHeaderRow="1" firstDataRow="2" firstDataCol="1"/>
  <pivotFields count="14">
    <pivotField showAll="0"/>
    <pivotField showAll="0">
      <items count="3">
        <item x="0"/>
        <item x="1"/>
        <item t="default"/>
      </items>
    </pivotField>
    <pivotField showAll="0"/>
    <pivotField numFmtId="166"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DE1F3C-0889-442C-83A5-1AF5789DE3D7}" name="PivotTable1" cacheId="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0">
      <pivotArea collapsedLevelsAreSubtotals="1" fieldPosition="0">
        <references count="1">
          <reference field="2" count="0"/>
        </references>
      </pivotArea>
    </format>
    <format dxfId="1">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638E2EB-D5AB-4633-BD10-20703F8DF13B}" sourceName="Marital Status">
  <pivotTables>
    <pivotTable tabId="3" name="PivotTable1"/>
    <pivotTable tabId="3" name="PivotTable2"/>
    <pivotTable tabId="3" name="PivotTable3"/>
  </pivotTables>
  <data>
    <tabular pivotCacheId="21401137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836DE3A-1854-43DB-9694-7F5D9FB50E38}" sourceName="Education">
  <pivotTables>
    <pivotTable tabId="3" name="PivotTable1"/>
    <pivotTable tabId="3" name="PivotTable2"/>
    <pivotTable tabId="3" name="PivotTable3"/>
  </pivotTables>
  <data>
    <tabular pivotCacheId="21401137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5948A0-3596-461A-BEA5-ADB2863E37B3}" sourceName="Region">
  <pivotTables>
    <pivotTable tabId="3" name="PivotTable1"/>
    <pivotTable tabId="3" name="PivotTable2"/>
    <pivotTable tabId="3" name="PivotTable3"/>
  </pivotTables>
  <data>
    <tabular pivotCacheId="214011373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4CEEE9EE-0B91-4C62-943F-2576C0CA1E74}" sourceName="Children">
  <pivotTables>
    <pivotTable tabId="3" name="PivotTable1"/>
    <pivotTable tabId="3" name="PivotTable2"/>
    <pivotTable tabId="3" name="PivotTable3"/>
  </pivotTables>
  <data>
    <tabular pivotCacheId="2140113733">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F0A0370-B540-46F1-B010-7F8A26621E4B}" cache="Slicer_Marital_Status" caption="Marital Status" rowHeight="234950"/>
  <slicer name="Education" xr10:uid="{23DCD0D2-C825-4F28-AAB4-30B0699E2A97}" cache="Slicer_Education" caption="Education" rowHeight="234950"/>
  <slicer name="Region" xr10:uid="{5D0A885B-CCD2-4DFD-9AB9-DC5EB02F0624}" cache="Slicer_Region" caption="Region" rowHeight="234950"/>
  <slicer name="Children" xr10:uid="{3AF8A5D9-B6A8-44BC-ADBE-2DAD62542E75}" cache="Slicer_Children" caption="Childre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5F28-5A9D-4CF8-B0F2-79F1F211BF01}">
  <dimension ref="A1:N1001"/>
  <sheetViews>
    <sheetView workbookViewId="0">
      <selection activeCell="M3" sqref="M3"/>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"Old", IF(L2&gt;=31, "Middle Age", IF(L2&lt;31, "Adolescent",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 "Adolescent",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 "Adolescent",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 "Adolescent",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 "Adolescent",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AC7C2024-8FEB-4CAC-977F-79C2876A1ED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8448-B0F4-4F7E-A2DD-91AC40619763}">
  <dimension ref="A3:D44"/>
  <sheetViews>
    <sheetView workbookViewId="0">
      <selection activeCell="D46" sqref="D46"/>
    </sheetView>
  </sheetViews>
  <sheetFormatPr defaultRowHeight="14.4" x14ac:dyDescent="0.3"/>
  <cols>
    <col min="1" max="1" width="21.88671875" bestFit="1" customWidth="1"/>
    <col min="2" max="2" width="15.5546875" bestFit="1" customWidth="1"/>
    <col min="3" max="3" width="7.88671875" bestFit="1" customWidth="1"/>
    <col min="4" max="4" width="10.77734375" bestFit="1" customWidth="1"/>
    <col min="5" max="5" width="8.5546875" bestFit="1" customWidth="1"/>
    <col min="6" max="6" width="9.5546875" bestFit="1" customWidth="1"/>
    <col min="7" max="7" width="10.77734375" bestFit="1" customWidth="1"/>
  </cols>
  <sheetData>
    <row r="3" spans="1:4" x14ac:dyDescent="0.3">
      <c r="A3" s="4" t="s">
        <v>44</v>
      </c>
      <c r="B3" s="4" t="s">
        <v>43</v>
      </c>
    </row>
    <row r="4" spans="1:4" x14ac:dyDescent="0.3">
      <c r="A4" s="4" t="s">
        <v>41</v>
      </c>
      <c r="B4" t="s">
        <v>18</v>
      </c>
      <c r="C4" t="s">
        <v>15</v>
      </c>
      <c r="D4" t="s">
        <v>42</v>
      </c>
    </row>
    <row r="5" spans="1:4" x14ac:dyDescent="0.3">
      <c r="A5" s="6" t="s">
        <v>38</v>
      </c>
      <c r="B5" s="7">
        <v>53440</v>
      </c>
      <c r="C5" s="7">
        <v>55774.058577405856</v>
      </c>
      <c r="D5" s="7">
        <v>54580.777096114522</v>
      </c>
    </row>
    <row r="6" spans="1:4" x14ac:dyDescent="0.3">
      <c r="A6" s="6" t="s">
        <v>39</v>
      </c>
      <c r="B6" s="7">
        <v>56208.178438661707</v>
      </c>
      <c r="C6" s="7">
        <v>60123.966942148763</v>
      </c>
      <c r="D6" s="7">
        <v>58062.62230919765</v>
      </c>
    </row>
    <row r="7" spans="1:4" x14ac:dyDescent="0.3">
      <c r="A7" s="6" t="s">
        <v>42</v>
      </c>
      <c r="B7" s="7">
        <v>54874.759152215796</v>
      </c>
      <c r="C7" s="7">
        <v>57962.577962577961</v>
      </c>
      <c r="D7" s="7">
        <v>56360</v>
      </c>
    </row>
    <row r="22" spans="1:4" x14ac:dyDescent="0.3">
      <c r="A22" s="4" t="s">
        <v>45</v>
      </c>
      <c r="B22" s="4" t="s">
        <v>43</v>
      </c>
    </row>
    <row r="23" spans="1:4" x14ac:dyDescent="0.3">
      <c r="A23" s="4" t="s">
        <v>41</v>
      </c>
      <c r="B23" t="s">
        <v>18</v>
      </c>
      <c r="C23" t="s">
        <v>15</v>
      </c>
      <c r="D23" t="s">
        <v>42</v>
      </c>
    </row>
    <row r="24" spans="1:4" x14ac:dyDescent="0.3">
      <c r="A24" s="6" t="s">
        <v>16</v>
      </c>
      <c r="B24" s="5">
        <v>166</v>
      </c>
      <c r="C24" s="5">
        <v>200</v>
      </c>
      <c r="D24" s="5">
        <v>366</v>
      </c>
    </row>
    <row r="25" spans="1:4" x14ac:dyDescent="0.3">
      <c r="A25" s="6" t="s">
        <v>26</v>
      </c>
      <c r="B25" s="5">
        <v>92</v>
      </c>
      <c r="C25" s="5">
        <v>77</v>
      </c>
      <c r="D25" s="5">
        <v>169</v>
      </c>
    </row>
    <row r="26" spans="1:4" x14ac:dyDescent="0.3">
      <c r="A26" s="6" t="s">
        <v>22</v>
      </c>
      <c r="B26" s="5">
        <v>67</v>
      </c>
      <c r="C26" s="5">
        <v>95</v>
      </c>
      <c r="D26" s="5">
        <v>162</v>
      </c>
    </row>
    <row r="27" spans="1:4" x14ac:dyDescent="0.3">
      <c r="A27" s="6" t="s">
        <v>23</v>
      </c>
      <c r="B27" s="5">
        <v>116</v>
      </c>
      <c r="C27" s="5">
        <v>76</v>
      </c>
      <c r="D27" s="5">
        <v>192</v>
      </c>
    </row>
    <row r="28" spans="1:4" x14ac:dyDescent="0.3">
      <c r="A28" s="6" t="s">
        <v>46</v>
      </c>
      <c r="B28" s="5">
        <v>78</v>
      </c>
      <c r="C28" s="5">
        <v>33</v>
      </c>
      <c r="D28" s="5">
        <v>111</v>
      </c>
    </row>
    <row r="29" spans="1:4" x14ac:dyDescent="0.3">
      <c r="A29" s="6" t="s">
        <v>42</v>
      </c>
      <c r="B29" s="5">
        <v>519</v>
      </c>
      <c r="C29" s="5">
        <v>481</v>
      </c>
      <c r="D29" s="5">
        <v>1000</v>
      </c>
    </row>
    <row r="39" spans="1:4" x14ac:dyDescent="0.3">
      <c r="A39" s="4" t="s">
        <v>45</v>
      </c>
      <c r="B39" s="4" t="s">
        <v>43</v>
      </c>
    </row>
    <row r="40" spans="1:4" x14ac:dyDescent="0.3">
      <c r="A40" s="4" t="s">
        <v>41</v>
      </c>
      <c r="B40" t="s">
        <v>18</v>
      </c>
      <c r="C40" t="s">
        <v>15</v>
      </c>
      <c r="D40" t="s">
        <v>42</v>
      </c>
    </row>
    <row r="41" spans="1:4" x14ac:dyDescent="0.3">
      <c r="A41" s="6" t="s">
        <v>47</v>
      </c>
      <c r="B41" s="5">
        <v>71</v>
      </c>
      <c r="C41" s="5">
        <v>39</v>
      </c>
      <c r="D41" s="5">
        <v>110</v>
      </c>
    </row>
    <row r="42" spans="1:4" x14ac:dyDescent="0.3">
      <c r="A42" s="6" t="s">
        <v>48</v>
      </c>
      <c r="B42" s="5">
        <v>318</v>
      </c>
      <c r="C42" s="5">
        <v>383</v>
      </c>
      <c r="D42" s="5">
        <v>701</v>
      </c>
    </row>
    <row r="43" spans="1:4" x14ac:dyDescent="0.3">
      <c r="A43" s="6" t="s">
        <v>49</v>
      </c>
      <c r="B43" s="5">
        <v>130</v>
      </c>
      <c r="C43" s="5">
        <v>59</v>
      </c>
      <c r="D43" s="5">
        <v>189</v>
      </c>
    </row>
    <row r="44" spans="1:4" x14ac:dyDescent="0.3">
      <c r="A44" s="6" t="s">
        <v>42</v>
      </c>
      <c r="B44" s="5">
        <v>519</v>
      </c>
      <c r="C44" s="5">
        <v>481</v>
      </c>
      <c r="D44"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AF3A-B254-4C2B-B03C-1D0F6E18A23B}">
  <dimension ref="A1:O6"/>
  <sheetViews>
    <sheetView showGridLines="0" tabSelected="1" topLeftCell="A6" zoomScale="81" zoomScaleNormal="81" workbookViewId="0">
      <selection activeCell="D41" sqref="D41"/>
    </sheetView>
  </sheetViews>
  <sheetFormatPr defaultRowHeight="14.4" x14ac:dyDescent="0.3"/>
  <sheetData>
    <row r="1" spans="1:15" x14ac:dyDescent="0.3">
      <c r="A1" s="8"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 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created xsi:type="dcterms:W3CDTF">2022-03-18T02:50:57Z</dcterms:created>
  <dcterms:modified xsi:type="dcterms:W3CDTF">2026-04-23T09:10:32Z</dcterms:modified>
</cp:coreProperties>
</file>